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.troiano\Documents\MyRepository\excel-compiler\src\resources\"/>
    </mc:Choice>
  </mc:AlternateContent>
  <xr:revisionPtr revIDLastSave="0" documentId="13_ncr:1_{5074155E-EAE4-4A64-B610-A4B560A25BED}" xr6:coauthVersionLast="47" xr6:coauthVersionMax="47" xr10:uidLastSave="{00000000-0000-0000-0000-000000000000}"/>
  <bookViews>
    <workbookView xWindow="-120" yWindow="-120" windowWidth="29040" windowHeight="15720" xr2:uid="{EF4A89CC-F839-4D61-8992-16AF34EBF5FB}"/>
  </bookViews>
  <sheets>
    <sheet name="MONTH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L36" i="1"/>
  <c r="H36" i="1"/>
  <c r="G36" i="1"/>
  <c r="F36" i="1"/>
  <c r="A5" i="1"/>
  <c r="B5" i="1" s="1"/>
  <c r="C3" i="1"/>
  <c r="A6" i="1" l="1"/>
  <c r="A7" i="1" l="1"/>
  <c r="B6" i="1"/>
  <c r="A8" i="1" l="1"/>
  <c r="B7" i="1"/>
  <c r="A9" i="1" l="1"/>
  <c r="B8" i="1"/>
  <c r="A10" i="1" l="1"/>
  <c r="B9" i="1"/>
  <c r="B10" i="1" l="1"/>
  <c r="A11" i="1"/>
  <c r="A12" i="1" l="1"/>
  <c r="B11" i="1"/>
  <c r="B12" i="1" l="1"/>
  <c r="A13" i="1"/>
  <c r="B13" i="1" l="1"/>
  <c r="A14" i="1"/>
  <c r="B14" i="1" l="1"/>
  <c r="A15" i="1"/>
  <c r="B15" i="1" l="1"/>
  <c r="A16" i="1"/>
  <c r="A17" i="1" l="1"/>
  <c r="B16" i="1"/>
  <c r="A18" i="1" l="1"/>
  <c r="B17" i="1"/>
  <c r="A19" i="1" l="1"/>
  <c r="B18" i="1"/>
  <c r="A20" i="1" l="1"/>
  <c r="B19" i="1"/>
  <c r="B20" i="1" l="1"/>
  <c r="A21" i="1"/>
  <c r="B21" i="1" l="1"/>
  <c r="A22" i="1"/>
  <c r="A23" i="1" l="1"/>
  <c r="B22" i="1"/>
  <c r="A24" i="1" l="1"/>
  <c r="B23" i="1"/>
  <c r="B24" i="1" l="1"/>
  <c r="A25" i="1"/>
  <c r="A26" i="1" l="1"/>
  <c r="B25" i="1"/>
  <c r="A27" i="1" l="1"/>
  <c r="B26" i="1"/>
  <c r="A28" i="1" l="1"/>
  <c r="B27" i="1"/>
  <c r="B28" i="1" l="1"/>
  <c r="A29" i="1"/>
  <c r="B29" i="1" l="1"/>
  <c r="A30" i="1"/>
  <c r="B30" i="1" l="1"/>
  <c r="A31" i="1"/>
  <c r="B31" i="1" l="1"/>
  <c r="A32" i="1"/>
  <c r="B32" i="1" l="1"/>
  <c r="A33" i="1"/>
  <c r="A34" i="1" l="1"/>
  <c r="B33" i="1"/>
  <c r="A35" i="1" l="1"/>
  <c r="B35" i="1" s="1"/>
  <c r="B34" i="1"/>
</calcChain>
</file>

<file path=xl/sharedStrings.xml><?xml version="1.0" encoding="utf-8"?>
<sst xmlns="http://schemas.openxmlformats.org/spreadsheetml/2006/main" count="18" uniqueCount="18">
  <si>
    <t>GIORNALIERA SIG. PINTUS GIUSEPPE</t>
  </si>
  <si>
    <t>PERIODO DAL</t>
  </si>
  <si>
    <t>PERIODO AL</t>
  </si>
  <si>
    <t>DATA</t>
  </si>
  <si>
    <t>GIORNO</t>
  </si>
  <si>
    <t>LOCALITA'</t>
  </si>
  <si>
    <t>CLIENTE</t>
  </si>
  <si>
    <t>DESCRIZIONE ATTIVITA'</t>
  </si>
  <si>
    <t>ORE                                   ORDINARIE</t>
  </si>
  <si>
    <t>ORE STRAORDINARIE</t>
  </si>
  <si>
    <t>ORE                                     ASSENZA</t>
  </si>
  <si>
    <t>MOTIVO ASSENZA</t>
  </si>
  <si>
    <t>TRASFERTA</t>
  </si>
  <si>
    <t>INDENNITA'</t>
  </si>
  <si>
    <t>VIAGGIO</t>
  </si>
  <si>
    <t>TOTALE ORE</t>
  </si>
  <si>
    <t>DATE_FROM</t>
  </si>
  <si>
    <t>DATE_TO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</si>
</sst>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0]dddd"/>
    <numFmt numFmtId="165" formatCode="[$-410]General"/>
    <numFmt numFmtId="166" formatCode="[$-410]dd\-mmm"/>
    <numFmt numFmtId="167" formatCode="[$-410]dd/mm/yyyy"/>
  </numFmts>
  <fonts count="23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b/>
      <sz val="18"/>
      <color rgb="FF000000"/>
      <name val="Calibri"/>
      <family val="2"/>
    </font>
    <font>
      <i/>
      <sz val="16"/>
      <color rgb="FFFFFFFF"/>
      <name val="Calibri"/>
      <family val="2"/>
    </font>
    <font>
      <i/>
      <sz val="12"/>
      <color rgb="FFFFFFFF"/>
      <name val="Calibri"/>
      <family val="2"/>
    </font>
    <font>
      <b/>
      <sz val="18"/>
      <color rgb="FFFFFFFF"/>
      <name val="Calibri"/>
      <family val="2"/>
    </font>
    <font>
      <sz val="11"/>
      <color rgb="FFFFFFFF"/>
      <name val="Calibri"/>
      <family val="2"/>
    </font>
    <font>
      <b/>
      <i/>
      <sz val="9"/>
      <color rgb="FF000000"/>
      <name val="Calibri1"/>
    </font>
    <font>
      <b/>
      <sz val="11"/>
      <color rgb="FF000000"/>
      <name val="Calibri1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77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8" borderId="0" applyNumberFormat="0" applyBorder="0" applyProtection="0"/>
    <xf numFmtId="0" fontId="4" fillId="5" borderId="0" applyNumberFormat="0" applyBorder="0" applyProtection="0"/>
    <xf numFmtId="0" fontId="12" fillId="9" borderId="0" applyNumberFormat="0" applyBorder="0" applyProtection="0"/>
    <xf numFmtId="0" fontId="13" fillId="9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6" borderId="0" applyNumberFormat="0" applyFont="0" applyBorder="0" applyProtection="0"/>
    <xf numFmtId="0" fontId="5" fillId="7" borderId="0" applyNumberFormat="0" applyBorder="0" applyProtection="0"/>
    <xf numFmtId="165" fontId="1" fillId="0" borderId="0" applyFon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4">
    <xf numFmtId="0" fontId="0" fillId="0" borderId="0" xfId="0"/>
    <xf numFmtId="165" fontId="16" fillId="10" borderId="0" xfId="69" applyFont="1" applyFill="1" applyAlignment="1">
      <alignment horizontal="left" vertical="top"/>
    </xf>
    <xf numFmtId="167" fontId="16" fillId="10" borderId="3" xfId="69" applyNumberFormat="1" applyFont="1" applyFill="1" applyBorder="1" applyAlignment="1">
      <alignment horizontal="right" vertical="top"/>
    </xf>
    <xf numFmtId="164" fontId="17" fillId="10" borderId="0" xfId="69" applyNumberFormat="1" applyFont="1" applyFill="1" applyAlignment="1">
      <alignment horizontal="center" vertical="center"/>
    </xf>
    <xf numFmtId="165" fontId="18" fillId="10" borderId="0" xfId="69" applyFont="1" applyFill="1" applyAlignment="1">
      <alignment horizontal="center" vertical="center"/>
    </xf>
    <xf numFmtId="165" fontId="19" fillId="10" borderId="0" xfId="69" applyFont="1" applyFill="1" applyAlignment="1">
      <alignment horizontal="left" vertical="center"/>
    </xf>
    <xf numFmtId="0" fontId="19" fillId="10" borderId="0" xfId="0" applyFont="1" applyFill="1"/>
    <xf numFmtId="0" fontId="16" fillId="10" borderId="0" xfId="0" applyFont="1" applyFill="1" applyAlignment="1">
      <alignment vertical="top"/>
    </xf>
    <xf numFmtId="14" fontId="16" fillId="10" borderId="3" xfId="0" applyNumberFormat="1" applyFont="1" applyFill="1" applyBorder="1" applyAlignment="1">
      <alignment horizontal="right" vertical="top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4" xfId="0" applyBorder="1"/>
    <xf numFmtId="2" fontId="0" fillId="0" borderId="4" xfId="0" applyNumberFormat="1" applyBorder="1"/>
    <xf numFmtId="14" fontId="21" fillId="11" borderId="4" xfId="0" applyNumberFormat="1" applyFont="1" applyFill="1" applyBorder="1" applyAlignment="1">
      <alignment horizontal="left" vertical="center"/>
    </xf>
    <xf numFmtId="164" fontId="22" fillId="11" borderId="4" xfId="0" applyNumberFormat="1" applyFont="1" applyFill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0" fontId="0" fillId="0" borderId="6" xfId="0" applyBorder="1"/>
    <xf numFmtId="2" fontId="0" fillId="0" borderId="7" xfId="0" applyNumberFormat="1" applyBorder="1"/>
    <xf numFmtId="0" fontId="0" fillId="0" borderId="8" xfId="0" applyBorder="1"/>
    <xf numFmtId="0" fontId="0" fillId="0" borderId="5" xfId="0" applyBorder="1"/>
    <xf numFmtId="0" fontId="21" fillId="0" borderId="0" xfId="0" applyFont="1"/>
    <xf numFmtId="166" fontId="21" fillId="0" borderId="0" xfId="0" applyNumberFormat="1" applyFont="1" applyAlignment="1">
      <alignment vertical="center"/>
    </xf>
    <xf numFmtId="166" fontId="21" fillId="0" borderId="9" xfId="0" applyNumberFormat="1" applyFont="1" applyBorder="1" applyAlignment="1">
      <alignment horizontal="center" vertical="center"/>
    </xf>
    <xf numFmtId="2" fontId="21" fillId="0" borderId="9" xfId="0" applyNumberFormat="1" applyFont="1" applyBorder="1" applyAlignment="1">
      <alignment horizontal="center" vertical="center"/>
    </xf>
    <xf numFmtId="2" fontId="21" fillId="12" borderId="9" xfId="0" applyNumberFormat="1" applyFont="1" applyFill="1" applyBorder="1"/>
    <xf numFmtId="2" fontId="0" fillId="12" borderId="9" xfId="0" applyNumberFormat="1" applyFill="1" applyBorder="1"/>
    <xf numFmtId="2" fontId="21" fillId="12" borderId="10" xfId="0" applyNumberFormat="1" applyFont="1" applyFill="1" applyBorder="1"/>
    <xf numFmtId="2" fontId="21" fillId="0" borderId="9" xfId="0" applyNumberFormat="1" applyFont="1" applyBorder="1"/>
    <xf numFmtId="14" fontId="21" fillId="13" borderId="4" xfId="0" applyNumberFormat="1" applyFont="1" applyFill="1" applyBorder="1" applyAlignment="1">
      <alignment horizontal="left" vertical="center"/>
    </xf>
    <xf numFmtId="164" fontId="22" fillId="13" borderId="4" xfId="0" applyNumberFormat="1" applyFont="1" applyFill="1" applyBorder="1" applyAlignment="1">
      <alignment horizontal="left" vertical="center"/>
    </xf>
    <xf numFmtId="14" fontId="21" fillId="14" borderId="4" xfId="0" applyNumberFormat="1" applyFont="1" applyFill="1" applyBorder="1" applyAlignment="1">
      <alignment horizontal="left" vertical="center"/>
    </xf>
    <xf numFmtId="164" fontId="22" fillId="14" borderId="4" xfId="0" applyNumberFormat="1" applyFont="1" applyFill="1" applyBorder="1" applyAlignment="1">
      <alignment horizontal="left" vertical="center"/>
    </xf>
    <xf numFmtId="165" fontId="15" fillId="0" borderId="2" xfId="69" applyFont="1" applyBorder="1" applyAlignment="1">
      <alignment horizontal="center" vertical="center"/>
    </xf>
  </cellXfs>
  <cellStyles count="77">
    <cellStyle name="Accent" xfId="7" xr:uid="{86FB4E54-695C-437A-9E68-223B8B63151A}"/>
    <cellStyle name="Accent 1" xfId="8" xr:uid="{467E5190-6CAD-4517-B0A1-769B2B4E1128}"/>
    <cellStyle name="Accent 2" xfId="9" xr:uid="{9117D7ED-7889-4952-AC1A-7F07A4C5C7C9}"/>
    <cellStyle name="Accent 3" xfId="10" xr:uid="{9CD1AB5D-7621-4ABD-B618-3E9DCDA752E4}"/>
    <cellStyle name="Bad" xfId="4" builtinId="27" customBuiltin="1"/>
    <cellStyle name="cf1" xfId="11" xr:uid="{2DC0CA48-549B-4581-82DC-A0772AA44C6A}"/>
    <cellStyle name="cf10" xfId="12" xr:uid="{95165ED3-9BB2-48B9-B8A5-ABFE7CE2BE54}"/>
    <cellStyle name="cf11" xfId="13" xr:uid="{311CC9B2-A6EE-45C4-A8BA-D580F2FF2B64}"/>
    <cellStyle name="cf12" xfId="14" xr:uid="{FA73F990-1AC1-45B6-A554-FC4AD83E8C16}"/>
    <cellStyle name="cf13" xfId="15" xr:uid="{946FF0B5-BD57-4FE4-B6D8-18D0937DBCD7}"/>
    <cellStyle name="cf14" xfId="16" xr:uid="{D800C91F-B238-4978-AE9C-096D6C72E765}"/>
    <cellStyle name="cf15" xfId="17" xr:uid="{B56A98C5-C93B-4D60-A7C8-E6DBB7C35409}"/>
    <cellStyle name="cf16" xfId="18" xr:uid="{80843C36-86D7-4193-BC0B-F3270DE6E13A}"/>
    <cellStyle name="cf17" xfId="19" xr:uid="{1058B9FB-C7AF-4455-A855-0E83FDE1B292}"/>
    <cellStyle name="cf18" xfId="20" xr:uid="{B4D4E4F7-534E-48C8-AF5A-5704143D8A5C}"/>
    <cellStyle name="cf19" xfId="21" xr:uid="{1D5593A8-36BA-4C79-A061-ADC0284C8FB3}"/>
    <cellStyle name="cf2" xfId="22" xr:uid="{B326DCD9-B895-4232-8AEF-57EB26219950}"/>
    <cellStyle name="cf20" xfId="23" xr:uid="{C94A61E4-D363-4A4A-8B2A-B3BE103AC7F9}"/>
    <cellStyle name="cf21" xfId="24" xr:uid="{49704127-F4EB-4D23-B358-6FF721DB49CA}"/>
    <cellStyle name="cf22" xfId="25" xr:uid="{C02BFF56-ADA0-4A0C-BEA0-F7DB07EC415D}"/>
    <cellStyle name="cf23" xfId="26" xr:uid="{FE5E66F1-5BF0-4EF6-BF11-9968A2F382E7}"/>
    <cellStyle name="cf24" xfId="27" xr:uid="{63312313-DEAE-4BB0-B07B-0EF9661DA088}"/>
    <cellStyle name="cf25" xfId="28" xr:uid="{9AD4275F-8CD9-4ECA-A44E-7CC889B7598A}"/>
    <cellStyle name="cf26" xfId="29" xr:uid="{3CB0E39C-F067-4542-8FFF-B2AD1D824914}"/>
    <cellStyle name="cf27" xfId="30" xr:uid="{CF91A815-8DE2-4232-B219-E998A37C6574}"/>
    <cellStyle name="cf28" xfId="31" xr:uid="{8C826E37-BA09-4ABA-B3DD-6E21CBE4F4C3}"/>
    <cellStyle name="cf29" xfId="32" xr:uid="{916A64F1-378B-4491-BBEA-C2961EA52518}"/>
    <cellStyle name="cf3" xfId="33" xr:uid="{06F91514-84B6-4677-A6A5-87F328987F7A}"/>
    <cellStyle name="cf30" xfId="34" xr:uid="{4E942E90-FBAC-47C0-B37F-85D3570B3644}"/>
    <cellStyle name="cf31" xfId="35" xr:uid="{E8BBD316-309C-4867-A998-9F5944C927D7}"/>
    <cellStyle name="cf32" xfId="36" xr:uid="{7A876533-DDC3-4255-B44C-C2BCA6C75176}"/>
    <cellStyle name="cf33" xfId="37" xr:uid="{94CB247A-9289-4E37-B02F-36991575D38F}"/>
    <cellStyle name="cf34" xfId="38" xr:uid="{5C6F34DF-DDFD-4F07-ADC8-03058E5CD88E}"/>
    <cellStyle name="cf35" xfId="39" xr:uid="{C740010E-FBA9-486F-95BE-8C5542888A39}"/>
    <cellStyle name="cf36" xfId="40" xr:uid="{18206615-A932-413E-BD78-3426234B5986}"/>
    <cellStyle name="cf37" xfId="41" xr:uid="{C35483AD-9B6B-4380-9B6A-790D253787E5}"/>
    <cellStyle name="cf38" xfId="42" xr:uid="{5A1F9DD4-B654-499C-89A7-621CCAECDF63}"/>
    <cellStyle name="cf39" xfId="43" xr:uid="{930C089F-7E24-4890-92BC-2EB9382921F2}"/>
    <cellStyle name="cf4" xfId="44" xr:uid="{0CE7F4FF-FC0A-4419-B523-710C809D43A4}"/>
    <cellStyle name="cf40" xfId="45" xr:uid="{31101556-5BAF-4EAF-A8F4-AF1A9174CA01}"/>
    <cellStyle name="cf41" xfId="46" xr:uid="{EEE3E634-4954-4B1D-8C11-99663CD1FAE3}"/>
    <cellStyle name="cf42" xfId="47" xr:uid="{B615A5FB-022E-4B7B-A983-CF594F0D292C}"/>
    <cellStyle name="cf43" xfId="48" xr:uid="{780831ED-3794-4504-8376-1F17761E6C7B}"/>
    <cellStyle name="cf44" xfId="49" xr:uid="{3BDDBDAF-F896-41EF-A222-605EE60D69FD}"/>
    <cellStyle name="cf45" xfId="50" xr:uid="{0EA533B9-9D3C-4E2C-8B07-7AEA60CD62BD}"/>
    <cellStyle name="cf46" xfId="51" xr:uid="{250ADDAA-6BFB-4E4D-AB8E-1295D21BCB42}"/>
    <cellStyle name="cf47" xfId="52" xr:uid="{F313EE16-E745-42FA-AB09-BB2684E57D08}"/>
    <cellStyle name="cf48" xfId="53" xr:uid="{5432E315-DFC7-4B08-866B-5CA51B4F06D5}"/>
    <cellStyle name="cf49" xfId="54" xr:uid="{E3DFB4F6-E0FB-411A-9CBD-4EC086A8975B}"/>
    <cellStyle name="cf5" xfId="55" xr:uid="{5C1C8298-A35B-4919-89E6-55C3F8C0299B}"/>
    <cellStyle name="cf50" xfId="56" xr:uid="{999EFFC9-201A-4FFB-959F-217C2BCD9B08}"/>
    <cellStyle name="cf51" xfId="57" xr:uid="{22377420-6288-4C43-84B2-5C4B4AE12214}"/>
    <cellStyle name="cf52" xfId="58" xr:uid="{39FE4D6B-816D-4928-B924-07E821DCEA77}"/>
    <cellStyle name="cf53" xfId="59" xr:uid="{1FD5854A-91EC-4F24-93CB-82AB5B590494}"/>
    <cellStyle name="cf54" xfId="60" xr:uid="{F0C54677-5E8E-48B7-9508-CF963CC90519}"/>
    <cellStyle name="cf55" xfId="61" xr:uid="{503701F1-0391-48C8-998F-660E106722BE}"/>
    <cellStyle name="cf56" xfId="62" xr:uid="{338DDF72-D8C8-4B2B-9079-A5CC259EF16A}"/>
    <cellStyle name="cf6" xfId="63" xr:uid="{B5744486-B7BA-4394-97BF-FFFFCE38B4EF}"/>
    <cellStyle name="cf7" xfId="64" xr:uid="{7AEEC1AB-5FB2-4A25-B2FB-5119C3F0B1AB}"/>
    <cellStyle name="cf8" xfId="65" xr:uid="{50A526BF-2F00-4D75-9E7F-A5D4B7750097}"/>
    <cellStyle name="cf9" xfId="66" xr:uid="{389C4F4B-6238-4B6E-B322-C8AC7904B482}"/>
    <cellStyle name="ConditionalStyle_1" xfId="67" xr:uid="{E5654A43-5615-4796-92C4-DB92A1FAA047}"/>
    <cellStyle name="Error" xfId="68" xr:uid="{2B805F21-F87B-4513-9BEE-0CE8AA1AC700}"/>
    <cellStyle name="Excel Built-in Normal" xfId="69" xr:uid="{9AC1BEFE-C67E-43A3-A4DF-1DC39A19845E}"/>
    <cellStyle name="Footnote" xfId="70" xr:uid="{AA88B714-6BCF-4DD2-A6FE-4659E3DC99F9}"/>
    <cellStyle name="Good" xfId="3" builtinId="26" customBuiltin="1"/>
    <cellStyle name="Heading (user)" xfId="71" xr:uid="{83F0E769-7E0A-496F-A174-8844BE8607A7}"/>
    <cellStyle name="Heading 1" xfId="1" builtinId="16" customBuiltin="1"/>
    <cellStyle name="Heading 2" xfId="2" builtinId="17" customBuiltin="1"/>
    <cellStyle name="Hyperlink" xfId="72" xr:uid="{4F3BD5BC-60B3-47D4-8727-75F4403E5CB5}"/>
    <cellStyle name="Neutral" xfId="5" builtinId="28" customBuiltin="1"/>
    <cellStyle name="Normal" xfId="0" builtinId="0" customBuiltin="1"/>
    <cellStyle name="Note" xfId="6" builtinId="10" customBuiltin="1"/>
    <cellStyle name="Result (user)" xfId="73" xr:uid="{0F09409D-3A30-46ED-AA46-DE91C01CA0B0}"/>
    <cellStyle name="Status" xfId="74" xr:uid="{47A0EE8B-0A86-4EC0-B459-92F434DE6EBB}"/>
    <cellStyle name="Text" xfId="75" xr:uid="{044FC2CE-A982-4AB6-8048-634142F79A13}"/>
    <cellStyle name="Warning" xfId="76" xr:uid="{8B5635AB-A459-4497-A38D-5E647802F9AB}"/>
  </cellStyles>
  <dxfs count="2">
    <dxf>
      <font>
        <color rgb="FF000000"/>
        <family val="2"/>
      </font>
      <fill>
        <patternFill patternType="solid">
          <fgColor rgb="FFFFFF00"/>
          <bgColor rgb="FFFFFF00"/>
        </patternFill>
      </fill>
    </dxf>
    <dxf>
      <font>
        <color rgb="FF000000"/>
        <family val="2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2410-F483-40B9-8314-6E4F3A961496}">
  <dimension ref="A1:L37"/>
  <sheetViews>
    <sheetView tabSelected="1" workbookViewId="0">
      <selection activeCell="B2" sqref="B2"/>
    </sheetView>
  </sheetViews>
  <sheetFormatPr defaultRowHeight="15"/>
  <cols>
    <col min="1" max="1" width="25.28515625" customWidth="1"/>
    <col min="2" max="2" width="28.7109375" customWidth="1"/>
    <col min="3" max="4" width="16.5703125" customWidth="1"/>
    <col min="5" max="5" width="17.42578125" customWidth="1"/>
    <col min="6" max="12" width="16.5703125" customWidth="1"/>
    <col min="13" max="1023" width="9.140625" customWidth="1"/>
    <col min="1024" max="1024" width="12.140625" customWidth="1"/>
    <col min="1025" max="1025" width="9.140625" customWidth="1"/>
  </cols>
  <sheetData>
    <row r="1" spans="1:12" ht="50.2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3.25">
      <c r="A2" s="1" t="s">
        <v>1</v>
      </c>
      <c r="B2" s="2" t="s">
        <v>16</v>
      </c>
      <c r="C2" s="3" t="str">
        <f>B2</f>
        <v>DATE_FROM</v>
      </c>
      <c r="D2" s="4"/>
      <c r="E2" s="4"/>
      <c r="F2" s="4"/>
      <c r="G2" s="4"/>
      <c r="H2" s="4"/>
      <c r="I2" s="4"/>
      <c r="J2" s="4"/>
      <c r="K2" s="5"/>
      <c r="L2" s="6"/>
    </row>
    <row r="3" spans="1:12" ht="21">
      <c r="A3" s="7" t="s">
        <v>2</v>
      </c>
      <c r="B3" s="8" t="s">
        <v>17</v>
      </c>
      <c r="C3" s="3" t="str">
        <f>B3</f>
        <v>DATE_TO</v>
      </c>
      <c r="D3" s="6"/>
      <c r="E3" s="6"/>
      <c r="F3" s="6"/>
      <c r="G3" s="6"/>
      <c r="H3" s="6"/>
      <c r="I3" s="6"/>
      <c r="J3" s="6"/>
      <c r="K3" s="6"/>
      <c r="L3" s="6"/>
    </row>
    <row r="4" spans="1:12" ht="24">
      <c r="A4" s="9" t="s">
        <v>3</v>
      </c>
      <c r="B4" s="10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</row>
    <row r="5" spans="1:12" ht="24" customHeight="1">
      <c r="A5" s="29" t="str">
        <f>+B2</f>
        <v>DATE_FROM</v>
      </c>
      <c r="B5" s="30" t="str">
        <f t="shared" ref="B5:B35" si="0">A5</f>
        <v>DATE_FROM</v>
      </c>
      <c r="C5" s="11"/>
      <c r="D5" s="11"/>
      <c r="E5" s="11"/>
      <c r="F5" s="12"/>
      <c r="G5" s="12"/>
      <c r="H5" s="12"/>
      <c r="I5" s="11"/>
      <c r="J5" s="11"/>
      <c r="K5" s="11"/>
      <c r="L5" s="12"/>
    </row>
    <row r="6" spans="1:12" ht="24.95" customHeight="1">
      <c r="A6" s="13" t="e">
        <f t="shared" ref="A6:A35" si="1">+A5+1</f>
        <v>#VALUE!</v>
      </c>
      <c r="B6" s="14" t="e">
        <f t="shared" si="0"/>
        <v>#VALUE!</v>
      </c>
      <c r="C6" s="11"/>
      <c r="D6" s="11"/>
      <c r="E6" s="11"/>
      <c r="F6" s="12"/>
      <c r="H6" s="12"/>
      <c r="I6" s="11"/>
      <c r="J6" s="11"/>
      <c r="K6" s="11"/>
      <c r="L6" s="12"/>
    </row>
    <row r="7" spans="1:12" ht="24.95" customHeight="1">
      <c r="A7" s="15" t="e">
        <f t="shared" si="1"/>
        <v>#VALUE!</v>
      </c>
      <c r="B7" s="16" t="e">
        <f t="shared" si="0"/>
        <v>#VALUE!</v>
      </c>
      <c r="C7" s="11"/>
      <c r="D7" s="11"/>
      <c r="E7" s="11"/>
      <c r="F7" s="12"/>
      <c r="G7" s="12"/>
      <c r="H7" s="12"/>
      <c r="I7" s="11"/>
      <c r="J7" s="11"/>
      <c r="K7" s="11"/>
      <c r="L7" s="12"/>
    </row>
    <row r="8" spans="1:12" ht="24.95" customHeight="1">
      <c r="A8" s="15" t="e">
        <f t="shared" si="1"/>
        <v>#VALUE!</v>
      </c>
      <c r="B8" s="16" t="e">
        <f t="shared" si="0"/>
        <v>#VALUE!</v>
      </c>
      <c r="C8" s="11"/>
      <c r="D8" s="11"/>
      <c r="E8" s="11"/>
      <c r="F8" s="12"/>
      <c r="G8" s="12"/>
      <c r="H8" s="12"/>
      <c r="I8" s="11"/>
      <c r="J8" s="11"/>
      <c r="K8" s="11"/>
      <c r="L8" s="12"/>
    </row>
    <row r="9" spans="1:12" ht="24.95" customHeight="1">
      <c r="A9" s="15" t="e">
        <f t="shared" si="1"/>
        <v>#VALUE!</v>
      </c>
      <c r="B9" s="16" t="e">
        <f t="shared" si="0"/>
        <v>#VALUE!</v>
      </c>
      <c r="C9" s="11"/>
      <c r="D9" s="11"/>
      <c r="E9" s="11"/>
      <c r="F9" s="12"/>
      <c r="G9" s="12"/>
      <c r="H9" s="12"/>
      <c r="I9" s="11"/>
      <c r="J9" s="11"/>
      <c r="K9" s="11"/>
      <c r="L9" s="12"/>
    </row>
    <row r="10" spans="1:12" ht="24.95" customHeight="1">
      <c r="A10" s="15" t="e">
        <f t="shared" si="1"/>
        <v>#VALUE!</v>
      </c>
      <c r="B10" s="16" t="e">
        <f t="shared" si="0"/>
        <v>#VALUE!</v>
      </c>
      <c r="C10" s="11"/>
      <c r="D10" s="11"/>
      <c r="E10" s="11"/>
      <c r="F10" s="12"/>
      <c r="G10" s="12"/>
      <c r="H10" s="12"/>
      <c r="I10" s="11"/>
      <c r="J10" s="11"/>
      <c r="K10" s="11"/>
      <c r="L10" s="12"/>
    </row>
    <row r="11" spans="1:12" ht="24.95" customHeight="1">
      <c r="A11" s="15" t="e">
        <f t="shared" si="1"/>
        <v>#VALUE!</v>
      </c>
      <c r="B11" s="16" t="e">
        <f t="shared" si="0"/>
        <v>#VALUE!</v>
      </c>
      <c r="C11" s="11"/>
      <c r="D11" s="11"/>
      <c r="E11" s="11"/>
      <c r="F11" s="12"/>
      <c r="G11" s="12"/>
      <c r="H11" s="12"/>
      <c r="I11" s="11"/>
      <c r="J11" s="11"/>
      <c r="K11" s="11"/>
      <c r="L11" s="12"/>
    </row>
    <row r="12" spans="1:12" ht="24.95" customHeight="1">
      <c r="A12" s="15" t="e">
        <f t="shared" si="1"/>
        <v>#VALUE!</v>
      </c>
      <c r="B12" s="16" t="e">
        <f t="shared" si="0"/>
        <v>#VALUE!</v>
      </c>
      <c r="C12" s="11"/>
      <c r="D12" s="11"/>
      <c r="E12" s="11"/>
      <c r="F12" s="12"/>
      <c r="G12" s="12"/>
      <c r="H12" s="12"/>
      <c r="I12" s="11"/>
      <c r="J12" s="11"/>
      <c r="K12" s="11"/>
      <c r="L12" s="12"/>
    </row>
    <row r="13" spans="1:12" ht="24.95" customHeight="1">
      <c r="A13" s="15" t="e">
        <f t="shared" si="1"/>
        <v>#VALUE!</v>
      </c>
      <c r="B13" s="16" t="e">
        <f t="shared" si="0"/>
        <v>#VALUE!</v>
      </c>
      <c r="C13" s="11"/>
      <c r="D13" s="11"/>
      <c r="E13" s="11"/>
      <c r="F13" s="12"/>
      <c r="H13" s="12"/>
      <c r="I13" s="11"/>
      <c r="J13" s="11"/>
      <c r="K13" s="11"/>
      <c r="L13" s="12"/>
    </row>
    <row r="14" spans="1:12" ht="24.95" customHeight="1">
      <c r="A14" s="13" t="e">
        <f t="shared" si="1"/>
        <v>#VALUE!</v>
      </c>
      <c r="B14" s="14" t="e">
        <f t="shared" si="0"/>
        <v>#VALUE!</v>
      </c>
      <c r="C14" s="11"/>
      <c r="D14" s="11"/>
      <c r="E14" s="11"/>
      <c r="F14" s="12"/>
      <c r="G14" s="12"/>
      <c r="H14" s="12"/>
      <c r="I14" s="11"/>
      <c r="J14" s="11"/>
      <c r="K14" s="11"/>
      <c r="L14" s="12"/>
    </row>
    <row r="15" spans="1:12" ht="24.95" customHeight="1">
      <c r="A15" s="15" t="e">
        <f t="shared" si="1"/>
        <v>#VALUE!</v>
      </c>
      <c r="B15" s="16" t="e">
        <f t="shared" si="0"/>
        <v>#VALUE!</v>
      </c>
      <c r="C15" s="11"/>
      <c r="D15" s="11"/>
      <c r="E15" s="11"/>
      <c r="F15" s="12"/>
      <c r="G15" s="12"/>
      <c r="H15" s="12"/>
      <c r="I15" s="11"/>
      <c r="J15" s="11"/>
      <c r="K15" s="11"/>
      <c r="L15" s="12"/>
    </row>
    <row r="16" spans="1:12" ht="24.95" customHeight="1">
      <c r="A16" s="15" t="e">
        <f t="shared" si="1"/>
        <v>#VALUE!</v>
      </c>
      <c r="B16" s="16" t="e">
        <f t="shared" si="0"/>
        <v>#VALUE!</v>
      </c>
      <c r="C16" s="11"/>
      <c r="D16" s="11"/>
      <c r="E16" s="11"/>
      <c r="F16" s="12"/>
      <c r="G16" s="12"/>
      <c r="H16" s="12"/>
      <c r="I16" s="11"/>
      <c r="J16" s="11"/>
      <c r="K16" s="11"/>
      <c r="L16" s="12"/>
    </row>
    <row r="17" spans="1:12" ht="24.95" customHeight="1">
      <c r="A17" s="15" t="e">
        <f t="shared" si="1"/>
        <v>#VALUE!</v>
      </c>
      <c r="B17" s="16" t="e">
        <f t="shared" si="0"/>
        <v>#VALUE!</v>
      </c>
      <c r="C17" s="11"/>
      <c r="D17" s="11"/>
      <c r="E17" s="11"/>
      <c r="F17" s="12"/>
      <c r="G17" s="12"/>
      <c r="H17" s="12"/>
      <c r="I17" s="11"/>
      <c r="J17" s="11"/>
      <c r="K17" s="11"/>
      <c r="L17" s="12"/>
    </row>
    <row r="18" spans="1:12" ht="24.95" customHeight="1">
      <c r="A18" s="15" t="e">
        <f t="shared" si="1"/>
        <v>#VALUE!</v>
      </c>
      <c r="B18" s="16" t="e">
        <f t="shared" si="0"/>
        <v>#VALUE!</v>
      </c>
      <c r="C18" s="11"/>
      <c r="D18" s="11"/>
      <c r="E18" s="11"/>
      <c r="F18" s="12"/>
      <c r="G18" s="12"/>
      <c r="H18" s="12"/>
      <c r="I18" s="11"/>
      <c r="J18" s="11"/>
      <c r="K18" s="11"/>
      <c r="L18" s="12"/>
    </row>
    <row r="19" spans="1:12" ht="24.95" customHeight="1">
      <c r="A19" s="15" t="e">
        <f t="shared" si="1"/>
        <v>#VALUE!</v>
      </c>
      <c r="B19" s="16" t="e">
        <f t="shared" si="0"/>
        <v>#VALUE!</v>
      </c>
      <c r="C19" s="11"/>
      <c r="D19" s="11"/>
      <c r="E19" s="11"/>
      <c r="F19" s="12"/>
      <c r="H19" s="12"/>
      <c r="I19" s="11"/>
      <c r="J19" s="11"/>
      <c r="K19" s="11"/>
      <c r="L19" s="12"/>
    </row>
    <row r="20" spans="1:12" ht="24.95" customHeight="1">
      <c r="A20" s="15" t="e">
        <f t="shared" si="1"/>
        <v>#VALUE!</v>
      </c>
      <c r="B20" s="16" t="e">
        <f t="shared" si="0"/>
        <v>#VALUE!</v>
      </c>
      <c r="C20" s="11"/>
      <c r="D20" s="11"/>
      <c r="E20" s="11"/>
      <c r="F20" s="12"/>
      <c r="G20" s="12"/>
      <c r="H20" s="12"/>
      <c r="I20" s="11"/>
      <c r="J20" s="11"/>
      <c r="K20" s="11"/>
      <c r="L20" s="12"/>
    </row>
    <row r="21" spans="1:12" ht="24.95" customHeight="1">
      <c r="A21" s="15" t="e">
        <f t="shared" si="1"/>
        <v>#VALUE!</v>
      </c>
      <c r="B21" s="16" t="e">
        <f t="shared" si="0"/>
        <v>#VALUE!</v>
      </c>
      <c r="C21" s="11"/>
      <c r="D21" s="11"/>
      <c r="E21" s="11"/>
      <c r="F21" s="12"/>
      <c r="G21" s="12"/>
      <c r="H21" s="12"/>
      <c r="I21" s="11"/>
      <c r="J21" s="11"/>
      <c r="K21" s="11"/>
      <c r="L21" s="12"/>
    </row>
    <row r="22" spans="1:12" ht="24.95" customHeight="1">
      <c r="A22" s="15" t="e">
        <f t="shared" si="1"/>
        <v>#VALUE!</v>
      </c>
      <c r="B22" s="16" t="e">
        <f t="shared" si="0"/>
        <v>#VALUE!</v>
      </c>
      <c r="C22" s="11"/>
      <c r="D22" s="11"/>
      <c r="E22" s="11"/>
      <c r="F22" s="12"/>
      <c r="H22" s="12"/>
      <c r="I22" s="11"/>
      <c r="J22" s="11"/>
      <c r="K22" s="11"/>
      <c r="L22" s="12"/>
    </row>
    <row r="23" spans="1:12" ht="24.95" customHeight="1">
      <c r="A23" s="15" t="e">
        <f t="shared" si="1"/>
        <v>#VALUE!</v>
      </c>
      <c r="B23" s="16" t="e">
        <f t="shared" si="0"/>
        <v>#VALUE!</v>
      </c>
      <c r="C23" s="11"/>
      <c r="D23" s="11"/>
      <c r="E23" s="11"/>
      <c r="F23" s="12"/>
      <c r="G23" s="12"/>
      <c r="H23" s="12"/>
      <c r="I23" s="11"/>
      <c r="J23" s="11"/>
      <c r="K23" s="11"/>
      <c r="L23" s="12"/>
    </row>
    <row r="24" spans="1:12" ht="24.95" customHeight="1">
      <c r="A24" s="15" t="e">
        <f t="shared" si="1"/>
        <v>#VALUE!</v>
      </c>
      <c r="B24" s="16" t="e">
        <f t="shared" si="0"/>
        <v>#VALUE!</v>
      </c>
      <c r="C24" s="11"/>
      <c r="D24" s="11"/>
      <c r="E24" s="11"/>
      <c r="F24" s="12"/>
      <c r="G24" s="12"/>
      <c r="H24" s="12"/>
      <c r="I24" s="11"/>
      <c r="J24" s="11"/>
      <c r="K24" s="11"/>
      <c r="L24" s="12"/>
    </row>
    <row r="25" spans="1:12" ht="24.95" customHeight="1">
      <c r="A25" s="15" t="e">
        <f t="shared" si="1"/>
        <v>#VALUE!</v>
      </c>
      <c r="B25" s="16" t="e">
        <f t="shared" si="0"/>
        <v>#VALUE!</v>
      </c>
      <c r="C25" s="11"/>
      <c r="D25" s="11"/>
      <c r="E25" s="11"/>
      <c r="F25" s="12"/>
      <c r="G25" s="12"/>
      <c r="H25" s="12"/>
      <c r="I25" s="17"/>
      <c r="J25" s="11"/>
      <c r="K25" s="11"/>
      <c r="L25" s="12"/>
    </row>
    <row r="26" spans="1:12" ht="24.95" customHeight="1">
      <c r="A26" s="15" t="e">
        <f t="shared" si="1"/>
        <v>#VALUE!</v>
      </c>
      <c r="B26" s="16" t="e">
        <f t="shared" si="0"/>
        <v>#VALUE!</v>
      </c>
      <c r="C26" s="11"/>
      <c r="D26" s="11"/>
      <c r="E26" s="11"/>
      <c r="F26" s="12"/>
      <c r="H26" s="18"/>
      <c r="I26" s="11"/>
      <c r="J26" s="19"/>
      <c r="K26" s="11"/>
      <c r="L26" s="12"/>
    </row>
    <row r="27" spans="1:12" ht="24.95" customHeight="1">
      <c r="A27" s="15" t="e">
        <f t="shared" si="1"/>
        <v>#VALUE!</v>
      </c>
      <c r="B27" s="16" t="e">
        <f t="shared" si="0"/>
        <v>#VALUE!</v>
      </c>
      <c r="C27" s="11"/>
      <c r="D27" s="11"/>
      <c r="E27" s="11"/>
      <c r="F27" s="12"/>
      <c r="G27" s="12"/>
      <c r="H27" s="18"/>
      <c r="I27" s="11"/>
      <c r="J27" s="19"/>
      <c r="K27" s="11"/>
      <c r="L27" s="12"/>
    </row>
    <row r="28" spans="1:12" ht="24.95" customHeight="1">
      <c r="A28" s="15" t="e">
        <f t="shared" si="1"/>
        <v>#VALUE!</v>
      </c>
      <c r="B28" s="16" t="e">
        <f t="shared" si="0"/>
        <v>#VALUE!</v>
      </c>
      <c r="C28" s="11"/>
      <c r="D28" s="11"/>
      <c r="E28" s="11"/>
      <c r="F28" s="12"/>
      <c r="H28" s="18"/>
      <c r="I28" s="11"/>
      <c r="J28" s="19"/>
      <c r="K28" s="11"/>
      <c r="L28" s="12"/>
    </row>
    <row r="29" spans="1:12" ht="24.95" customHeight="1">
      <c r="A29" s="31" t="e">
        <f t="shared" si="1"/>
        <v>#VALUE!</v>
      </c>
      <c r="B29" s="32" t="e">
        <f t="shared" si="0"/>
        <v>#VALUE!</v>
      </c>
      <c r="C29" s="11"/>
      <c r="D29" s="11"/>
      <c r="E29" s="11"/>
      <c r="F29" s="12"/>
      <c r="G29" s="12"/>
      <c r="H29" s="18"/>
      <c r="I29" s="11"/>
      <c r="J29" s="19"/>
      <c r="K29" s="11"/>
      <c r="L29" s="12"/>
    </row>
    <row r="30" spans="1:12" ht="24.95" customHeight="1">
      <c r="A30" s="15" t="e">
        <f t="shared" si="1"/>
        <v>#VALUE!</v>
      </c>
      <c r="B30" s="16" t="e">
        <f t="shared" si="0"/>
        <v>#VALUE!</v>
      </c>
      <c r="C30" s="11"/>
      <c r="D30" s="11"/>
      <c r="E30" s="11"/>
      <c r="F30" s="12"/>
      <c r="G30" s="12"/>
      <c r="H30" s="18"/>
      <c r="I30" s="11"/>
      <c r="J30" s="19"/>
      <c r="K30" s="11"/>
      <c r="L30" s="12"/>
    </row>
    <row r="31" spans="1:12" ht="24.95" customHeight="1">
      <c r="A31" s="15" t="e">
        <f t="shared" si="1"/>
        <v>#VALUE!</v>
      </c>
      <c r="B31" s="16" t="e">
        <f t="shared" si="0"/>
        <v>#VALUE!</v>
      </c>
      <c r="C31" s="11"/>
      <c r="D31" s="11"/>
      <c r="E31" s="11"/>
      <c r="F31" s="12"/>
      <c r="G31" s="12"/>
      <c r="H31" s="18"/>
      <c r="I31" s="11"/>
      <c r="J31" s="19"/>
      <c r="K31" s="11"/>
      <c r="L31" s="12"/>
    </row>
    <row r="32" spans="1:12" ht="20.45" customHeight="1" thickBot="1">
      <c r="A32" s="15" t="e">
        <f t="shared" si="1"/>
        <v>#VALUE!</v>
      </c>
      <c r="B32" s="16" t="e">
        <f t="shared" si="0"/>
        <v>#VALUE!</v>
      </c>
      <c r="C32" s="11"/>
      <c r="D32" s="11"/>
      <c r="E32" s="11"/>
      <c r="F32" s="12"/>
      <c r="G32" s="12"/>
      <c r="H32" s="12"/>
      <c r="I32" s="20"/>
      <c r="J32" s="11"/>
      <c r="K32" s="11"/>
      <c r="L32" s="12"/>
    </row>
    <row r="33" spans="1:12" ht="20.45" hidden="1" customHeight="1">
      <c r="A33" s="15" t="e">
        <f t="shared" si="1"/>
        <v>#VALUE!</v>
      </c>
      <c r="B33" s="16" t="e">
        <f t="shared" si="0"/>
        <v>#VALUE!</v>
      </c>
      <c r="C33" s="11"/>
      <c r="D33" s="11"/>
      <c r="E33" s="11"/>
      <c r="F33" s="12"/>
      <c r="G33" s="12"/>
      <c r="H33" s="12"/>
      <c r="I33" s="11"/>
      <c r="J33" s="11"/>
      <c r="K33" s="11"/>
      <c r="L33" s="12"/>
    </row>
    <row r="34" spans="1:12" ht="17.45" hidden="1" customHeight="1">
      <c r="A34" s="15" t="e">
        <f t="shared" si="1"/>
        <v>#VALUE!</v>
      </c>
      <c r="B34" s="16" t="e">
        <f t="shared" si="0"/>
        <v>#VALUE!</v>
      </c>
      <c r="C34" s="11"/>
      <c r="D34" s="11"/>
      <c r="E34" s="11"/>
      <c r="F34" s="12"/>
      <c r="G34" s="12"/>
      <c r="H34" s="12"/>
      <c r="I34" s="11"/>
      <c r="J34" s="11"/>
      <c r="K34" s="11"/>
      <c r="L34" s="12"/>
    </row>
    <row r="35" spans="1:12" ht="21" hidden="1" customHeight="1" thickBot="1">
      <c r="A35" s="15" t="e">
        <f t="shared" si="1"/>
        <v>#VALUE!</v>
      </c>
      <c r="B35" s="16" t="e">
        <f t="shared" si="0"/>
        <v>#VALUE!</v>
      </c>
      <c r="C35" s="11"/>
      <c r="D35" s="11"/>
      <c r="E35" s="11"/>
      <c r="F35" s="12"/>
      <c r="G35" s="12"/>
      <c r="H35" s="12"/>
      <c r="I35" s="11"/>
      <c r="J35" s="11"/>
      <c r="K35" s="11"/>
      <c r="L35" s="12"/>
    </row>
    <row r="36" spans="1:12" ht="16.5" thickTop="1" thickBot="1">
      <c r="A36" s="21"/>
      <c r="B36" s="21"/>
      <c r="C36" s="22"/>
      <c r="D36" s="22"/>
      <c r="E36" s="23" t="s">
        <v>15</v>
      </c>
      <c r="F36" s="24">
        <f>SUM(F5:F35)</f>
        <v>0</v>
      </c>
      <c r="G36" s="24">
        <f>SUM(G5:G35)</f>
        <v>0</v>
      </c>
      <c r="H36" s="24">
        <f>SUM(H5:H34)</f>
        <v>0</v>
      </c>
      <c r="I36" s="25"/>
      <c r="J36" s="26"/>
      <c r="K36" s="27"/>
      <c r="L36" s="28">
        <f>SUM(L5:L34)</f>
        <v>0</v>
      </c>
    </row>
    <row r="37" spans="1:12" ht="15.75" thickTop="1"/>
  </sheetData>
  <mergeCells count="1">
    <mergeCell ref="A1:L1"/>
  </mergeCells>
  <conditionalFormatting sqref="A5:A35">
    <cfRule type="expression" dxfId="1" priority="1" stopIfTrue="1">
      <formula>WEEKDAY(A5,2)&gt;5</formula>
    </cfRule>
  </conditionalFormatting>
  <conditionalFormatting sqref="B5:B35">
    <cfRule type="expression" dxfId="0" priority="2" stopIfTrue="1">
      <formula>WEEKDAY(A5,2)&gt;5</formula>
    </cfRule>
  </conditionalFormatting>
  <pageMargins left="0.78740157480314998" right="0.78740157480314998" top="1.1511811023622052" bottom="1.1511811023622052" header="0.78740157480314998" footer="0.78740157480314998"/>
  <pageSetup fitToWidth="0" fitToHeight="0" orientation="portrait" r:id="rId1"/>
  <headerFooter alignWithMargins="0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Troiano, Francesco</cp:lastModifiedBy>
  <cp:revision>5</cp:revision>
  <cp:lastPrinted>2021-10-04T20:46:49Z</cp:lastPrinted>
  <dcterms:created xsi:type="dcterms:W3CDTF">2021-02-11T08:52:18Z</dcterms:created>
  <dcterms:modified xsi:type="dcterms:W3CDTF">2026-03-09T20:53:13Z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